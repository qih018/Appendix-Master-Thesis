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qih018_uib_no/Documents/Master/MRI-Tools-master/Github organized codes/Excel Sheets/"/>
    </mc:Choice>
  </mc:AlternateContent>
  <xr:revisionPtr revIDLastSave="445" documentId="8_{210BB275-64F8-4429-93AD-05E0C984568A}" xr6:coauthVersionLast="47" xr6:coauthVersionMax="47" xr10:uidLastSave="{5D6AF7C5-2FD7-4105-9518-CDF2014397D6}"/>
  <bookViews>
    <workbookView xWindow="-120" yWindow="-120" windowWidth="51840" windowHeight="21120" activeTab="1" xr2:uid="{792FBB64-665B-4D66-AD36-58F1170FDE40}"/>
  </bookViews>
  <sheets>
    <sheet name="Permeability" sheetId="1" r:id="rId1"/>
    <sheet name="Endpoint Rel. pe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B24" i="2"/>
  <c r="B23" i="2"/>
  <c r="B25" i="2"/>
  <c r="C8" i="2"/>
  <c r="E22" i="2"/>
  <c r="C22" i="2"/>
  <c r="C25" i="2" s="1"/>
  <c r="D25" i="2"/>
  <c r="B10" i="2"/>
  <c r="B11" i="2" s="1"/>
  <c r="B12" i="2" s="1"/>
  <c r="B6" i="2"/>
  <c r="D23" i="2" l="1"/>
  <c r="C23" i="2"/>
  <c r="E23" i="2"/>
  <c r="H6" i="1"/>
  <c r="H7" i="1"/>
  <c r="H8" i="1"/>
  <c r="H5" i="1"/>
  <c r="J5" i="1"/>
  <c r="K5" i="1"/>
  <c r="K6" i="1"/>
  <c r="K7" i="1"/>
  <c r="K8" i="1"/>
  <c r="F5" i="1"/>
  <c r="J4" i="1"/>
  <c r="J6" i="1"/>
  <c r="J7" i="1"/>
  <c r="J8" i="1"/>
  <c r="F6" i="1"/>
  <c r="B25" i="1"/>
  <c r="B24" i="1"/>
  <c r="F7" i="1"/>
  <c r="F8" i="1"/>
  <c r="L5" i="1" l="1"/>
  <c r="C24" i="2"/>
  <c r="D24" i="2"/>
  <c r="E24" i="2"/>
  <c r="M5" i="1"/>
  <c r="B26" i="1"/>
  <c r="L8" i="1"/>
  <c r="L7" i="1"/>
  <c r="L6" i="1"/>
  <c r="B13" i="2" l="1"/>
  <c r="M7" i="1"/>
  <c r="M6" i="1"/>
  <c r="N9" i="1" s="1"/>
  <c r="M8" i="1"/>
  <c r="M9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<sst xmlns="http://schemas.openxmlformats.org/spreadsheetml/2006/main" count="88" uniqueCount="68">
  <si>
    <t>Brine</t>
  </si>
  <si>
    <t>3 wt% NaCl</t>
  </si>
  <si>
    <t>Gas</t>
  </si>
  <si>
    <t>Liquid CO2</t>
  </si>
  <si>
    <t>Peek cell</t>
  </si>
  <si>
    <t xml:space="preserve">X1B </t>
  </si>
  <si>
    <t>Diameter</t>
  </si>
  <si>
    <t>cm</t>
  </si>
  <si>
    <t>Length</t>
  </si>
  <si>
    <t>Areal</t>
  </si>
  <si>
    <t>cm2</t>
  </si>
  <si>
    <t>Bulk volume</t>
  </si>
  <si>
    <t>cm3</t>
  </si>
  <si>
    <t>Sandpack empty</t>
  </si>
  <si>
    <t>g</t>
  </si>
  <si>
    <t>Weight sand</t>
  </si>
  <si>
    <t>Density sand</t>
  </si>
  <si>
    <t>g/ml</t>
  </si>
  <si>
    <t>Volume sand</t>
  </si>
  <si>
    <t>ml</t>
  </si>
  <si>
    <t>Sandpack sand</t>
  </si>
  <si>
    <t>Pore volume</t>
  </si>
  <si>
    <t>Porosity</t>
  </si>
  <si>
    <t>Weight Sw=1</t>
  </si>
  <si>
    <t>Weight a/CO2</t>
  </si>
  <si>
    <t>ΔP (bar)</t>
  </si>
  <si>
    <t>K=Q*μ*L/A*ΔP</t>
  </si>
  <si>
    <t>Pressure (bar)</t>
  </si>
  <si>
    <t>Density (kg/m^3)</t>
  </si>
  <si>
    <t>Water Density Calculator</t>
  </si>
  <si>
    <t>Notes</t>
  </si>
  <si>
    <t>Tlow</t>
  </si>
  <si>
    <t>Thigh</t>
  </si>
  <si>
    <t>T_ mean (in C)</t>
  </si>
  <si>
    <t>Isochoric Properties for Water</t>
  </si>
  <si>
    <t>R2 28.11.25.xlsx</t>
  </si>
  <si>
    <t>QX 21.11.25-01.12.25.xlsx</t>
  </si>
  <si>
    <t>Q(m^3/s)</t>
  </si>
  <si>
    <t>K (m^2)</t>
  </si>
  <si>
    <t>K(D)</t>
  </si>
  <si>
    <t>ΔP (Pa)</t>
  </si>
  <si>
    <t>Viscosity water(Pa*s)</t>
  </si>
  <si>
    <t>Q (ml/h)</t>
  </si>
  <si>
    <t>stdev(bar)</t>
  </si>
  <si>
    <t xml:space="preserve"> </t>
  </si>
  <si>
    <t>1 m^2=1.01325 · 10^12 Darcy</t>
  </si>
  <si>
    <t>Areal(cm^s)</t>
  </si>
  <si>
    <t>k (m^2)</t>
  </si>
  <si>
    <t>k (D)</t>
  </si>
  <si>
    <t xml:space="preserve">Based on \citet{}at 80 bar, 21degC </t>
  </si>
  <si>
    <t>μ water(Pa*s)</t>
  </si>
  <si>
    <t>Comments</t>
  </si>
  <si>
    <t>Value</t>
  </si>
  <si>
    <t>Property</t>
  </si>
  <si>
    <t>Length (cm)</t>
  </si>
  <si>
    <t>Distilled water</t>
  </si>
  <si>
    <t>k( D)</t>
  </si>
  <si>
    <t>k_gr,endpoint</t>
  </si>
  <si>
    <t>k_g,enddpoint (D)</t>
  </si>
  <si>
    <t>ΔP(Q=1 ml/h) (bar)</t>
  </si>
  <si>
    <t xml:space="preserve">μ co2 </t>
  </si>
  <si>
    <t>Q co2 (ml/h)</t>
  </si>
  <si>
    <t>ΔP(Q=1 ml/h) (Pa)</t>
  </si>
  <si>
    <t>Uncertainty DL</t>
  </si>
  <si>
    <t>-</t>
  </si>
  <si>
    <t>Uncertainty Brine</t>
  </si>
  <si>
    <t>*reported systematic uncertainties of the P and ΔP transducers</t>
  </si>
  <si>
    <t>Endpoint relative permeabilty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</si>
</sst>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E+00"/>
    <numFmt numFmtId="166" formatCode="0.0"/>
    <numFmt numFmtId="167" formatCode="0E+00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Ubuntu"/>
    </font>
    <font>
      <sz val="12"/>
      <color rgb="FF000000"/>
      <name val="Segoe U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2" fillId="0" borderId="0" xfId="0" applyFont="1" applyAlignment="1">
      <alignment horizontal="center"/>
    </xf>
    <xf numFmtId="164" fontId="0" fillId="0" borderId="0" xfId="0" applyNumberFormat="1"/>
    <xf numFmtId="0" fontId="5" fillId="0" borderId="0" xfId="0" applyFont="1"/>
    <xf numFmtId="0" fontId="0" fillId="3" borderId="0" xfId="0" applyFill="1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0" borderId="7" xfId="0" applyFont="1" applyBorder="1"/>
    <xf numFmtId="0" fontId="6" fillId="0" borderId="0" xfId="0" applyFont="1" applyBorder="1"/>
    <xf numFmtId="0" fontId="0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oilsrm-my.sharepoint.com/:x:/r/personal/maste_equinor_com/_layouts/15/Doc.aspx?sourcedoc=%7B262442EF-0439-4E86-9FA0-89306083C21E%7D&amp;file=R2%2028.11.25.xlsx&amp;action=default&amp;mobileredirect=true" TargetMode="External"/><Relationship Id="rId2" Type="http://schemas.openxmlformats.org/officeDocument/2006/relationships/hyperlink" Target="https://webbook.nist.gov/cgi/fluid.cgi?D=1001&amp;TLow=&amp;THigh=&amp;TInc=20.9&amp;Digits=5&amp;ID=C7732185&amp;Action=Load&amp;Type=IsoChor&amp;TUnit=C&amp;PUnit=bar&amp;DUnit=kg%2Fm3&amp;HUnit=kJ%2Fmol&amp;WUnit=m%2Fs&amp;VisUnit=uPa*s&amp;STUnit=N%2Fm&amp;RefState=DEF" TargetMode="External"/><Relationship Id="rId1" Type="http://schemas.openxmlformats.org/officeDocument/2006/relationships/hyperlink" Target="https://www.omnicalculator.com/physics/water-density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tatoilsrm-my.sharepoint.com/:x:/r/personal/maste_equinor_com/_layouts/15/Doc.aspx?sourcedoc=%7BCB6A8E03-8E95-479B-92E6-1D80830AC138%7D&amp;file=QX%2021.11.25-01.12.25.xlsx&amp;action=default&amp;mobileredirect=true" TargetMode="External"/><Relationship Id="rId4" Type="http://schemas.openxmlformats.org/officeDocument/2006/relationships/hyperlink" Target="https://statoilsrm-my.sharepoint.com/:x:/r/personal/maste_equinor_com/_layouts/15/Doc.aspx?sourcedoc=%7B262442EF-0439-4E86-9FA0-89306083C21E%7D&amp;file=R2%2028.11.25.xlsx&amp;action=default&amp;mobileredirect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F5DE-55AB-4410-8C55-FFD7831DBEB7}">
  <dimension ref="A1:Q37"/>
  <sheetViews>
    <sheetView workbookViewId="0">
      <selection activeCell="A21" sqref="A21:C27"/>
    </sheetView>
  </sheetViews>
  <sheetFormatPr defaultColWidth="11.42578125" defaultRowHeight="15" x14ac:dyDescent="0.25"/>
  <cols>
    <col min="1" max="1" width="19.140625" bestFit="1" customWidth="1"/>
    <col min="3" max="3" width="27.7109375" bestFit="1" customWidth="1"/>
    <col min="6" max="6" width="12" bestFit="1" customWidth="1"/>
    <col min="8" max="9" width="12" bestFit="1" customWidth="1"/>
    <col min="11" max="12" width="12" bestFit="1" customWidth="1"/>
  </cols>
  <sheetData>
    <row r="1" spans="1:17" x14ac:dyDescent="0.25">
      <c r="A1" s="1" t="s">
        <v>0</v>
      </c>
      <c r="B1" s="1" t="s">
        <v>1</v>
      </c>
      <c r="C1" s="1"/>
    </row>
    <row r="2" spans="1:17" x14ac:dyDescent="0.25">
      <c r="A2" s="1" t="s">
        <v>2</v>
      </c>
      <c r="B2" s="1" t="s">
        <v>3</v>
      </c>
      <c r="C2" s="1"/>
      <c r="H2" t="e" vm="1">
        <v>#VALUE!</v>
      </c>
    </row>
    <row r="3" spans="1:17" x14ac:dyDescent="0.25">
      <c r="A3" s="1" t="s">
        <v>4</v>
      </c>
      <c r="B3" s="1" t="s">
        <v>5</v>
      </c>
      <c r="C3" s="1"/>
      <c r="E3" t="s">
        <v>42</v>
      </c>
      <c r="F3" t="s">
        <v>37</v>
      </c>
      <c r="G3" t="s">
        <v>25</v>
      </c>
      <c r="H3" t="s">
        <v>25</v>
      </c>
      <c r="I3" t="s">
        <v>43</v>
      </c>
      <c r="J3" t="s">
        <v>40</v>
      </c>
      <c r="K3" t="s">
        <v>40</v>
      </c>
      <c r="L3" t="s">
        <v>38</v>
      </c>
      <c r="M3" s="13" t="s">
        <v>39</v>
      </c>
    </row>
    <row r="4" spans="1:17" x14ac:dyDescent="0.25">
      <c r="A4" s="1" t="s">
        <v>6</v>
      </c>
      <c r="B4" s="2">
        <v>3.17</v>
      </c>
      <c r="C4" s="2" t="s">
        <v>7</v>
      </c>
      <c r="E4">
        <v>0</v>
      </c>
      <c r="G4" s="1">
        <v>-7.6830038000000003E-2</v>
      </c>
      <c r="J4">
        <f>(G4-$G$4)*100000</f>
        <v>0</v>
      </c>
      <c r="M4" s="13"/>
    </row>
    <row r="5" spans="1:17" ht="15.75" thickBot="1" x14ac:dyDescent="0.3">
      <c r="A5" s="1" t="s">
        <v>8</v>
      </c>
      <c r="B5" s="2">
        <v>10.3</v>
      </c>
      <c r="C5" s="2" t="s">
        <v>7</v>
      </c>
      <c r="E5" s="1">
        <v>100</v>
      </c>
      <c r="F5">
        <f>E5/(10^6*60*60)</f>
        <v>2.7777777777777777E-8</v>
      </c>
      <c r="G5" s="1">
        <v>5.8028953000000001E-2</v>
      </c>
      <c r="H5">
        <f>G5-$G$4</f>
        <v>0.13485899100000001</v>
      </c>
      <c r="I5" s="1">
        <v>2.0581900000000001E-3</v>
      </c>
      <c r="J5">
        <f>(G5-$G$4)*100000</f>
        <v>13485.899100000001</v>
      </c>
      <c r="K5">
        <f>(I5)*100000</f>
        <v>205.81900000000002</v>
      </c>
      <c r="L5">
        <f>(F5*$B$22*$B$5/100)/($B$6/10000*J5)</f>
        <v>2.8050809132658365E-13</v>
      </c>
      <c r="M5" s="13">
        <f>L5*1.01325*10^12</f>
        <v>0.2842248235366609</v>
      </c>
    </row>
    <row r="6" spans="1:17" x14ac:dyDescent="0.25">
      <c r="A6" s="1" t="s">
        <v>9</v>
      </c>
      <c r="B6" s="2">
        <v>7.89</v>
      </c>
      <c r="C6" s="2" t="s">
        <v>10</v>
      </c>
      <c r="E6" s="1">
        <v>200</v>
      </c>
      <c r="F6">
        <f>E6/(10^6*60*60)</f>
        <v>5.5555555555555555E-8</v>
      </c>
      <c r="G6" s="1">
        <v>0.193185468</v>
      </c>
      <c r="H6">
        <f t="shared" ref="H6:H8" si="0">G6-$G$4</f>
        <v>0.27001550600000002</v>
      </c>
      <c r="I6" s="1">
        <v>2.4287129999999999E-3</v>
      </c>
      <c r="J6">
        <f>(G6-$G$4)*100000</f>
        <v>27001.550600000002</v>
      </c>
      <c r="K6">
        <f t="shared" ref="K6:K8" si="1">(I6)*100000</f>
        <v>242.87129999999999</v>
      </c>
      <c r="L6">
        <f>(F6*$B$22*$B$5/100)/($B$6/10000*J6)</f>
        <v>2.8019900578331175E-13</v>
      </c>
      <c r="M6" s="13">
        <f t="shared" ref="M6:M8" si="2">L6*1.01325*10^12</f>
        <v>0.28391164260994062</v>
      </c>
      <c r="O6" s="4" t="s">
        <v>26</v>
      </c>
      <c r="P6" s="5"/>
      <c r="Q6" s="6"/>
    </row>
    <row r="7" spans="1:17" ht="16.5" thickBot="1" x14ac:dyDescent="0.3">
      <c r="A7" s="1" t="s">
        <v>11</v>
      </c>
      <c r="B7" s="2">
        <v>81.290000000000006</v>
      </c>
      <c r="C7" s="2" t="s">
        <v>12</v>
      </c>
      <c r="E7" s="1">
        <v>300</v>
      </c>
      <c r="F7">
        <f t="shared" ref="F7:F8" si="3">E7/(10^6*60*60)</f>
        <v>8.3333333333333338E-8</v>
      </c>
      <c r="G7" s="1">
        <v>0.32896919899999999</v>
      </c>
      <c r="H7">
        <f t="shared" si="0"/>
        <v>0.40579923699999998</v>
      </c>
      <c r="I7" s="1">
        <v>2.14306E-3</v>
      </c>
      <c r="J7">
        <f>(G7-$G$4)*100000</f>
        <v>40579.923699999999</v>
      </c>
      <c r="K7">
        <f t="shared" si="1"/>
        <v>214.30600000000001</v>
      </c>
      <c r="L7">
        <f>(F7*$B$22*$B$5/100)/($B$6/10000*J7)</f>
        <v>2.796632032379025E-13</v>
      </c>
      <c r="M7" s="13">
        <f t="shared" si="2"/>
        <v>0.2833687406808047</v>
      </c>
      <c r="O7" s="7" t="s">
        <v>45</v>
      </c>
      <c r="P7" s="8"/>
      <c r="Q7" s="9"/>
    </row>
    <row r="8" spans="1:17" x14ac:dyDescent="0.25">
      <c r="A8" s="1" t="s">
        <v>13</v>
      </c>
      <c r="B8" s="2">
        <v>340.58</v>
      </c>
      <c r="C8" s="2" t="s">
        <v>14</v>
      </c>
      <c r="E8" s="1">
        <v>400</v>
      </c>
      <c r="F8">
        <f t="shared" si="3"/>
        <v>1.1111111111111111E-7</v>
      </c>
      <c r="G8" s="1">
        <v>0.46449336499999999</v>
      </c>
      <c r="H8">
        <f t="shared" si="0"/>
        <v>0.54132340300000004</v>
      </c>
      <c r="I8" s="1">
        <v>2.5433529999999999E-3</v>
      </c>
      <c r="J8">
        <f>(G8-$G$4)*100000</f>
        <v>54132.340300000003</v>
      </c>
      <c r="K8">
        <f t="shared" si="1"/>
        <v>254.33529999999999</v>
      </c>
      <c r="L8">
        <f>(F8*$B$22*$B$5/100)/($B$6/10000*J8)</f>
        <v>2.7953004029747388E-13</v>
      </c>
      <c r="M8" s="13">
        <f t="shared" si="2"/>
        <v>0.2832338133314154</v>
      </c>
    </row>
    <row r="9" spans="1:17" x14ac:dyDescent="0.25">
      <c r="A9" s="1" t="s">
        <v>15</v>
      </c>
      <c r="B9" s="2">
        <v>140.56</v>
      </c>
      <c r="C9" s="2" t="s">
        <v>14</v>
      </c>
      <c r="M9" s="11">
        <f>AVERAGE(M5:M8)</f>
        <v>0.28368475503970542</v>
      </c>
      <c r="N9" s="11">
        <f>_xlfn.STDEV.P(M5:M8)</f>
        <v>4.0198428148310097E-4</v>
      </c>
    </row>
    <row r="10" spans="1:17" x14ac:dyDescent="0.25">
      <c r="A10" s="1" t="s">
        <v>16</v>
      </c>
      <c r="B10" s="2">
        <v>2.5499999999999998</v>
      </c>
      <c r="C10" s="2" t="s">
        <v>17</v>
      </c>
    </row>
    <row r="11" spans="1:17" x14ac:dyDescent="0.25">
      <c r="A11" s="1" t="s">
        <v>18</v>
      </c>
      <c r="B11" s="2">
        <v>55.2</v>
      </c>
      <c r="C11" s="2" t="s">
        <v>19</v>
      </c>
    </row>
    <row r="12" spans="1:17" x14ac:dyDescent="0.25">
      <c r="A12" s="1" t="s">
        <v>20</v>
      </c>
      <c r="B12" s="2">
        <v>511</v>
      </c>
      <c r="C12" s="2" t="s">
        <v>14</v>
      </c>
    </row>
    <row r="13" spans="1:17" x14ac:dyDescent="0.25">
      <c r="A13" s="1" t="s">
        <v>21</v>
      </c>
      <c r="B13" s="2">
        <v>26.09</v>
      </c>
      <c r="C13" s="2" t="s">
        <v>14</v>
      </c>
    </row>
    <row r="14" spans="1:17" x14ac:dyDescent="0.25">
      <c r="A14" s="1" t="s">
        <v>22</v>
      </c>
      <c r="B14" s="2">
        <v>0.32100000000000001</v>
      </c>
      <c r="C14" s="2"/>
    </row>
    <row r="15" spans="1:17" x14ac:dyDescent="0.25">
      <c r="A15" s="1" t="s">
        <v>23</v>
      </c>
      <c r="B15" s="2"/>
      <c r="C15" s="2"/>
    </row>
    <row r="16" spans="1:17" x14ac:dyDescent="0.25">
      <c r="A16" s="1" t="s">
        <v>24</v>
      </c>
      <c r="B16" s="2">
        <v>548</v>
      </c>
      <c r="C16" s="2" t="s">
        <v>14</v>
      </c>
    </row>
    <row r="20" spans="1:8" x14ac:dyDescent="0.25">
      <c r="H20" t="s">
        <v>44</v>
      </c>
    </row>
    <row r="21" spans="1:8" x14ac:dyDescent="0.25">
      <c r="C21" t="s">
        <v>30</v>
      </c>
    </row>
    <row r="22" spans="1:8" ht="17.25" x14ac:dyDescent="0.3">
      <c r="A22" t="s">
        <v>41</v>
      </c>
      <c r="B22" s="12">
        <v>1.0432E-3</v>
      </c>
      <c r="C22" s="3" t="s">
        <v>34</v>
      </c>
    </row>
    <row r="23" spans="1:8" x14ac:dyDescent="0.25">
      <c r="A23" t="s">
        <v>27</v>
      </c>
      <c r="B23">
        <v>74</v>
      </c>
      <c r="C23" s="3" t="s">
        <v>36</v>
      </c>
    </row>
    <row r="24" spans="1:8" x14ac:dyDescent="0.25">
      <c r="A24" t="s">
        <v>31</v>
      </c>
      <c r="B24">
        <f>273.15+20.55</f>
        <v>293.7</v>
      </c>
      <c r="C24" s="3" t="s">
        <v>35</v>
      </c>
    </row>
    <row r="25" spans="1:8" x14ac:dyDescent="0.25">
      <c r="A25" t="s">
        <v>32</v>
      </c>
      <c r="B25">
        <f>273.15+21.27</f>
        <v>294.41999999999996</v>
      </c>
      <c r="C25" s="3" t="s">
        <v>35</v>
      </c>
    </row>
    <row r="26" spans="1:8" x14ac:dyDescent="0.25">
      <c r="A26" t="s">
        <v>33</v>
      </c>
      <c r="B26">
        <f>(B25+B24)/2-273.15</f>
        <v>20.909999999999968</v>
      </c>
    </row>
    <row r="27" spans="1:8" x14ac:dyDescent="0.25">
      <c r="A27" t="s">
        <v>28</v>
      </c>
      <c r="B27">
        <v>1001</v>
      </c>
      <c r="C27" s="3" t="s">
        <v>29</v>
      </c>
    </row>
    <row r="36" spans="1:8" x14ac:dyDescent="0.25">
      <c r="F36" s="10"/>
      <c r="G36" s="10"/>
      <c r="H36" s="10"/>
    </row>
    <row r="37" spans="1:8" x14ac:dyDescent="0.25">
      <c r="A37" s="10"/>
    </row>
  </sheetData>
  <hyperlinks>
    <hyperlink ref="C27" r:id="rId1" display="https://www.omnicalculator.com/physics/water-density" xr:uid="{C9321614-84BF-4853-9B3A-6B7FAC917873}"/>
    <hyperlink ref="C22" r:id="rId2" display="https://webbook.nist.gov/cgi/fluid.cgi?D=1001&amp;TLow=&amp;THigh=&amp;TInc=20.9&amp;Digits=5&amp;ID=C7732185&amp;Action=Load&amp;Type=IsoChor&amp;TUnit=C&amp;PUnit=bar&amp;DUnit=kg%2Fm3&amp;HUnit=kJ%2Fmol&amp;WUnit=m%2Fs&amp;VisUnit=uPa*s&amp;STUnit=N%2Fm&amp;RefState=DEF" xr:uid="{69F3621E-FF2B-42E4-918C-5A240847D128}"/>
    <hyperlink ref="C24" r:id="rId3" display="https://statoilsrm-my.sharepoint.com/:x:/r/personal/maste_equinor_com/_layouts/15/Doc.aspx?sourcedoc=%7B262442EF-0439-4E86-9FA0-89306083C21E%7D&amp;file=R2%2028.11.25.xlsx&amp;action=default&amp;mobileredirect=true" xr:uid="{E4737952-5BAE-4A60-A7BC-7F7C011EB354}"/>
    <hyperlink ref="C25" r:id="rId4" display="https://statoilsrm-my.sharepoint.com/:x:/r/personal/maste_equinor_com/_layouts/15/Doc.aspx?sourcedoc=%7B262442EF-0439-4E86-9FA0-89306083C21E%7D&amp;file=R2%2028.11.25.xlsx&amp;action=default&amp;mobileredirect=true" xr:uid="{7155006F-2C60-40A0-8E24-38FE2BA098B9}"/>
    <hyperlink ref="C23" r:id="rId5" display="https://statoilsrm-my.sharepoint.com/:x:/r/personal/maste_equinor_com/_layouts/15/Doc.aspx?sourcedoc=%7BCB6A8E03-8E95-479B-92E6-1D80830AC138%7D&amp;file=QX%2021.11.25-01.12.25.xlsx&amp;action=default&amp;mobileredirect=true" xr:uid="{8013A130-A3D1-4E8D-85F6-20E79C9401B5}"/>
  </hyperlinks>
  <pageMargins left="0.7" right="0.7" top="0.75" bottom="0.75" header="0.3" footer="0.3"/>
  <pageSetup paperSize="9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1C9C-9733-4D54-BBA6-EDBEAACFF096}">
  <dimension ref="A2:L25"/>
  <sheetViews>
    <sheetView tabSelected="1" workbookViewId="0">
      <selection activeCell="E7" sqref="E7"/>
    </sheetView>
  </sheetViews>
  <sheetFormatPr defaultRowHeight="15" x14ac:dyDescent="0.25"/>
  <cols>
    <col min="1" max="1" width="17.85546875" bestFit="1" customWidth="1"/>
    <col min="2" max="2" width="12.42578125" bestFit="1" customWidth="1"/>
    <col min="3" max="3" width="31.140625" bestFit="1" customWidth="1"/>
    <col min="4" max="4" width="12" bestFit="1" customWidth="1"/>
    <col min="5" max="5" width="16.7109375" bestFit="1" customWidth="1"/>
    <col min="6" max="6" width="12" bestFit="1" customWidth="1"/>
    <col min="7" max="7" width="16.140625" bestFit="1" customWidth="1"/>
    <col min="8" max="8" width="38" bestFit="1" customWidth="1"/>
    <col min="11" max="11" width="16.7109375" bestFit="1" customWidth="1"/>
    <col min="12" max="12" width="13.7109375" bestFit="1" customWidth="1"/>
    <col min="13" max="13" width="14.85546875" customWidth="1"/>
    <col min="14" max="14" width="11" bestFit="1" customWidth="1"/>
    <col min="15" max="15" width="12" bestFit="1" customWidth="1"/>
    <col min="17" max="17" width="11" bestFit="1" customWidth="1"/>
  </cols>
  <sheetData>
    <row r="2" spans="1:12" ht="15.75" thickBot="1" x14ac:dyDescent="0.3"/>
    <row r="3" spans="1:12" x14ac:dyDescent="0.25">
      <c r="A3" s="21" t="s">
        <v>53</v>
      </c>
      <c r="B3" s="21" t="s">
        <v>52</v>
      </c>
      <c r="C3" s="21" t="s">
        <v>51</v>
      </c>
      <c r="D3" s="22"/>
      <c r="E3" s="22"/>
      <c r="J3" s="4" t="s">
        <v>26</v>
      </c>
      <c r="K3" s="5"/>
      <c r="L3" s="6"/>
    </row>
    <row r="4" spans="1:12" ht="16.5" thickBot="1" x14ac:dyDescent="0.3">
      <c r="A4" t="s">
        <v>50</v>
      </c>
      <c r="B4">
        <v>7.3750000000000004E-5</v>
      </c>
      <c r="C4" t="s">
        <v>49</v>
      </c>
      <c r="J4" s="7" t="s">
        <v>45</v>
      </c>
      <c r="K4" s="8"/>
      <c r="L4" s="9"/>
    </row>
    <row r="5" spans="1:12" x14ac:dyDescent="0.25">
      <c r="A5" t="s">
        <v>48</v>
      </c>
    </row>
    <row r="6" spans="1:12" x14ac:dyDescent="0.25">
      <c r="A6" t="s">
        <v>47</v>
      </c>
      <c r="B6">
        <f>B19/(1.01325*10^12)</f>
        <v>2.7999013076733287E-13</v>
      </c>
      <c r="C6" t="s">
        <v>45</v>
      </c>
    </row>
    <row r="7" spans="1:12" x14ac:dyDescent="0.25">
      <c r="A7" s="1" t="s">
        <v>54</v>
      </c>
      <c r="B7" s="2">
        <v>10.62</v>
      </c>
      <c r="C7">
        <v>0.01</v>
      </c>
    </row>
    <row r="8" spans="1:12" x14ac:dyDescent="0.25">
      <c r="A8" s="1" t="s">
        <v>46</v>
      </c>
      <c r="B8" s="16">
        <v>7.89</v>
      </c>
      <c r="C8">
        <f>SQRT(PI()*(0.01/2*B8))</f>
        <v>0.35204521042632769</v>
      </c>
    </row>
    <row r="9" spans="1:12" x14ac:dyDescent="0.25">
      <c r="A9" t="s">
        <v>42</v>
      </c>
      <c r="B9">
        <v>1</v>
      </c>
    </row>
    <row r="10" spans="1:12" x14ac:dyDescent="0.25">
      <c r="A10" t="s">
        <v>37</v>
      </c>
      <c r="B10">
        <f>B9/(10^6*60*60)</f>
        <v>2.7777777777777777E-10</v>
      </c>
    </row>
    <row r="11" spans="1:12" x14ac:dyDescent="0.25">
      <c r="A11" t="s">
        <v>40</v>
      </c>
      <c r="B11">
        <f>$B$10*B4*($B$7/100)/($B$6*$B$8/10000)</f>
        <v>9.8483690364024525</v>
      </c>
    </row>
    <row r="12" spans="1:12" x14ac:dyDescent="0.25">
      <c r="A12" t="s">
        <v>25</v>
      </c>
      <c r="B12">
        <f>B11/100000</f>
        <v>9.8483690364024531E-5</v>
      </c>
    </row>
    <row r="13" spans="1:12" x14ac:dyDescent="0.25">
      <c r="B13">
        <f>20/B12</f>
        <v>203079.31116385007</v>
      </c>
    </row>
    <row r="17" spans="1:6" x14ac:dyDescent="0.25">
      <c r="A17" s="23" t="s">
        <v>67</v>
      </c>
      <c r="B17" s="20"/>
      <c r="C17" s="20"/>
      <c r="D17" s="20"/>
      <c r="E17" s="20"/>
    </row>
    <row r="18" spans="1:6" x14ac:dyDescent="0.25">
      <c r="A18" s="21" t="s">
        <v>53</v>
      </c>
      <c r="B18" s="21" t="s">
        <v>55</v>
      </c>
      <c r="C18" s="21" t="s">
        <v>63</v>
      </c>
      <c r="D18" s="21" t="s">
        <v>0</v>
      </c>
      <c r="E18" s="21" t="s">
        <v>65</v>
      </c>
    </row>
    <row r="19" spans="1:6" x14ac:dyDescent="0.25">
      <c r="A19" t="s">
        <v>56</v>
      </c>
      <c r="B19" s="15">
        <v>0.28370000000000001</v>
      </c>
      <c r="C19" s="15">
        <v>4.0000000000000002E-4</v>
      </c>
      <c r="D19" s="15">
        <v>0.28370000000000001</v>
      </c>
      <c r="E19" s="15">
        <v>4.0000000000000002E-4</v>
      </c>
    </row>
    <row r="20" spans="1:6" x14ac:dyDescent="0.25">
      <c r="A20" t="s">
        <v>61</v>
      </c>
      <c r="B20" s="15">
        <v>1</v>
      </c>
      <c r="C20" s="14" t="s">
        <v>64</v>
      </c>
      <c r="D20" s="15">
        <v>1</v>
      </c>
      <c r="E20" s="14" t="s">
        <v>64</v>
      </c>
    </row>
    <row r="21" spans="1:6" x14ac:dyDescent="0.25">
      <c r="A21" t="s">
        <v>60</v>
      </c>
      <c r="B21" s="15">
        <v>7.3750000000000004E-5</v>
      </c>
      <c r="C21" s="14" t="s">
        <v>64</v>
      </c>
      <c r="D21" s="15">
        <v>7.2810000000000003E-5</v>
      </c>
      <c r="E21" s="14" t="s">
        <v>64</v>
      </c>
    </row>
    <row r="22" spans="1:6" x14ac:dyDescent="0.25">
      <c r="A22" t="s">
        <v>59</v>
      </c>
      <c r="B22" s="15">
        <v>24.11</v>
      </c>
      <c r="C22" s="15">
        <f>0.0025*B22</f>
        <v>6.0275000000000002E-2</v>
      </c>
      <c r="D22" s="15">
        <v>13.686999999999999</v>
      </c>
      <c r="E22" s="15">
        <f>0.004*D22</f>
        <v>5.4747999999999998E-2</v>
      </c>
      <c r="F22" t="s">
        <v>66</v>
      </c>
    </row>
    <row r="23" spans="1:6" x14ac:dyDescent="0.25">
      <c r="A23" t="s">
        <v>58</v>
      </c>
      <c r="B23" s="17">
        <f>(B10*$B$21*$B$7/100)/($B$8/10000*B25)</f>
        <v>1.143693958667472E-18</v>
      </c>
      <c r="C23" s="19">
        <f>SQRT(
(($B$10*B21*($C$7/100))/(($B$8/10000)*B25))^2
+
(($B$10*B21*($B$7/100)*($C$8/10000))/(($B$8/10000)^2*B25))^2
+
(($B$10*B21*C25*($B$7/100))/(($B$8/10000)*B25^2))^2
)</f>
        <v>5.1122051938870741E-20</v>
      </c>
      <c r="D23" s="18">
        <f>(B10*$D$21*$B$7/100)/($B$8/10000*D25)</f>
        <v>1.9889679113232534E-18</v>
      </c>
      <c r="E23" s="19">
        <f>SQRT(
(($B$10*D21*($C$7/100))/(($B$8/10000)*D25))^2
+
(($B$10*D21*($B$7/100)*($C$8/10000))/(($B$8/10000)^2*D25))^2
+
(($B$10*D21*E25*($B$7/100))/(($B$8/10000)*D25^2))^2
)</f>
        <v>8.9121666461128602E-20</v>
      </c>
    </row>
    <row r="24" spans="1:6" x14ac:dyDescent="0.25">
      <c r="A24" t="s">
        <v>57</v>
      </c>
      <c r="B24" s="17">
        <f>B23/B19</f>
        <v>4.0313498719332813E-18</v>
      </c>
      <c r="C24" s="18">
        <f>B23*C19/B19^2</f>
        <v>5.6839617510515081E-21</v>
      </c>
      <c r="D24" s="18">
        <f>D23/D19</f>
        <v>7.0108139278225357E-18</v>
      </c>
      <c r="E24" s="19">
        <f>D23*E19/D19^2</f>
        <v>9.8848275330596208E-21</v>
      </c>
    </row>
    <row r="25" spans="1:6" x14ac:dyDescent="0.25">
      <c r="A25" t="s">
        <v>62</v>
      </c>
      <c r="B25" s="15">
        <f>B22*100000</f>
        <v>2411000</v>
      </c>
      <c r="C25" s="15">
        <f>C22*100000</f>
        <v>6027.5</v>
      </c>
      <c r="D25" s="15">
        <f>D22*100000</f>
        <v>1368700</v>
      </c>
      <c r="E25" s="15">
        <f>E22*100000</f>
        <v>5474.8</v>
      </c>
    </row>
  </sheetData>
  <mergeCells count="1">
    <mergeCell ref="A17:E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Permeability</vt:lpstr>
      <vt:lpstr>Endpoint Rel. 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Rakel Oikonomakis Bergset</dc:creator>
  <cp:lastModifiedBy>Rakel Oikonomakis Bergset</cp:lastModifiedBy>
  <dcterms:created xsi:type="dcterms:W3CDTF">2026-03-02T14:04:46Z</dcterms:created>
  <dcterms:modified xsi:type="dcterms:W3CDTF">2026-05-31T13:49:07Z</dcterms:modified>
</cp:coreProperties>
</file>